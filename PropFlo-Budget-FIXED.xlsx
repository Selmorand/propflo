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Landing Pages" sheetId="6" state="visible" r:id="rId6"/>
    <sheet xmlns:r="http://schemas.openxmlformats.org/officeDocument/2006/relationships" name="Management Tiers" sheetId="7" state="visible" r:id="rId7"/>
    <sheet xmlns:r="http://schemas.openxmlformats.org/officeDocument/2006/relationships" name="90-Day Plan" sheetId="8" state="visible" r:id="rId8"/>
    <sheet xmlns:r="http://schemas.openxmlformats.org/officeDocument/2006/relationships" name="Ad Spend" sheetId="9" state="visible" r:id="rId9"/>
    <sheet xmlns:r="http://schemas.openxmlformats.org/officeDocument/2006/relationships" name="Add-Ons" sheetId="10" state="visible" r:id="rId10"/>
  </sheets>
  <definedNames>
    <definedName name="ADDONS_TOTAL">'Add-Ons'!$G$17</definedName>
    <definedName name="CONTINGENCY_PCT">Assumptions!$C$9</definedName>
    <definedName name="DEC_B1">Decisions!$E$6</definedName>
    <definedName name="DEC_B2">Decisions!$E$7</definedName>
    <definedName name="DEC_B5">Decisions!$E$8</definedName>
    <definedName name="INCLUDE_CONTINGENCY">Assumptions!$C$10</definedName>
    <definedName name="MGMT_MONTHLY">'Management Tiers'!$E$10</definedName>
    <definedName name="SETUP_FEE">Setup!$C$17</definedName>
    <definedName name="STAGE_B_MONTHS">Assumptions!$C$8</definedName>
    <definedName name="VAT_BASIS">Decisions!$D$9</definedName>
    <definedName name="VAT_RATE">Assumptions!$C$5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&quot;#,##0;[Red]\-&quot;R&quot;#,##0"/>
  </numFmts>
  <fonts count="9">
    <font>
      <name val="Calibri"/>
      <color theme="1"/>
      <sz val="11"/>
    </font>
    <font>
      <name val="Calibri"/>
      <b val="1"/>
      <color rgb="FFFFFFFF"/>
      <sz val="16"/>
    </font>
    <font>
      <name val="Calibri"/>
      <b val="1"/>
      <sz val="11"/>
    </font>
    <font>
      <name val="Calibri"/>
      <b val="1"/>
      <color rgb="FF1F4E78"/>
      <sz val="11"/>
    </font>
    <font>
      <name val="Calibri"/>
      <b val="1"/>
      <color rgb="FF1F4E78"/>
      <sz val="11"/>
    </font>
    <font>
      <name val="Calibri"/>
      <sz val="11"/>
    </font>
    <font>
      <name val="Calibri"/>
      <color rgb="FF404040"/>
      <sz val="10"/>
    </font>
    <font>
      <name val="Calibri"/>
      <i val="1"/>
      <color rgb="FF595959"/>
      <sz val="9"/>
    </font>
    <font>
      <name val="Calibri"/>
      <i val="1"/>
      <color rgb="FF808080"/>
      <sz val="9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0" fillId="0" borderId="1" pivotButton="0" quotePrefix="0" xfId="0"/>
    <xf numFmtId="164" fontId="0" fillId="5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6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9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30" customWidth="1" style="21" min="2" max="2"/>
    <col width="100" customWidth="1" style="21" min="3" max="3"/>
  </cols>
  <sheetData>
    <row r="2" ht="14.9" customHeight="1" s="21">
      <c r="B2" s="20" t="inlineStr">
        <is>
          <t>PropFlo Marketing Budget — Marketing &amp; Ad Spend Only</t>
        </is>
      </c>
    </row>
    <row r="4">
      <c r="B4" s="1" t="inlineStr">
        <is>
          <t>Prepared by</t>
        </is>
      </c>
      <c r="C4" s="2" t="inlineStr">
        <is>
          <t>Interon</t>
        </is>
      </c>
    </row>
    <row r="5">
      <c r="B5" s="1" t="inlineStr">
        <is>
          <t>Client</t>
        </is>
      </c>
      <c r="C5" s="2" t="inlineStr">
        <is>
          <t>PropFlo / Newco (legal entity TBC)</t>
        </is>
      </c>
    </row>
    <row r="6">
      <c r="B6" s="1" t="inlineStr">
        <is>
          <t>Scope</t>
        </is>
      </c>
      <c r="C6" s="2" t="inlineStr">
        <is>
          <t>Marketing services (Interon fees) + media spend (paid to Google, Meta, LinkedIn). Everything else is excluded.</t>
        </is>
      </c>
    </row>
    <row r="7">
      <c r="B7" s="1" t="inlineStr">
        <is>
          <t>Status</t>
        </is>
      </c>
      <c r="C7" s="2" t="inlineStr">
        <is>
          <t>Working draft — not yet approved</t>
        </is>
      </c>
    </row>
    <row r="8">
      <c r="B8" s="1" t="inlineStr">
        <is>
          <t>Version</t>
        </is>
      </c>
      <c r="C8" s="2" t="inlineStr">
        <is>
          <t>v2.0 (2026-07-06)</t>
        </is>
      </c>
    </row>
    <row r="9">
      <c r="B9" s="1" t="inlineStr">
        <is>
          <t>VAT policy</t>
        </is>
      </c>
      <c r="C9" s="2" t="inlineStr">
        <is>
          <t>All figures ex VAT unless the VAT toggle on Summary is used. VAT bases are never mixed.</t>
        </is>
      </c>
    </row>
    <row r="10">
      <c r="B10" s="1" t="inlineStr">
        <is>
          <t>Currency</t>
        </is>
      </c>
      <c r="C10" s="2" t="inlineStr">
        <is>
          <t>ZAR</t>
        </is>
      </c>
    </row>
    <row r="12">
      <c r="B12" s="22" t="inlineStr">
        <is>
          <t>How to use this workbook</t>
        </is>
      </c>
    </row>
    <row r="13">
      <c r="B13" s="3" t="inlineStr">
        <is>
          <t>1</t>
        </is>
      </c>
      <c r="C13" s="2" t="inlineStr">
        <is>
          <t>Yellow cells are inputs — edit these.</t>
        </is>
      </c>
    </row>
    <row r="14">
      <c r="B14" s="3" t="inlineStr">
        <is>
          <t>2</t>
        </is>
      </c>
      <c r="C14" s="2" t="inlineStr">
        <is>
          <t>Grey cells are calculated — do not edit; edit the source input instead.</t>
        </is>
      </c>
    </row>
    <row r="15">
      <c r="B15" s="3" t="inlineStr">
        <is>
          <t>3</t>
        </is>
      </c>
      <c r="C15" s="2" t="inlineStr">
        <is>
          <t>Green cells are totals or selected-scenario headlines.</t>
        </is>
      </c>
    </row>
    <row r="16" ht="16.65" customHeight="1" s="21">
      <c r="B16" s="3" t="inlineStr">
        <is>
          <t>4</t>
        </is>
      </c>
      <c r="C16" s="2" t="inlineStr">
        <is>
          <t>The Decisions sheet drives the Selected Scenario column on Summary. Change a dropdown, and Summary recalculates.</t>
        </is>
      </c>
    </row>
    <row r="17">
      <c r="B17" s="3" t="inlineStr">
        <is>
          <t>5</t>
        </is>
      </c>
      <c r="C17" s="2" t="inlineStr">
        <is>
          <t>Low / Mid / High columns on Summary are fixed reference scenarios.</t>
        </is>
      </c>
    </row>
    <row r="18">
      <c r="B18" s="3" t="inlineStr">
        <is>
          <t>6</t>
        </is>
      </c>
      <c r="C18" s="2" t="inlineStr">
        <is>
          <t>The far-right column on every sheet explains each item in plain English for non-marketing readers.</t>
        </is>
      </c>
    </row>
    <row r="20">
      <c r="B20" s="22" t="inlineStr">
        <is>
          <t>Sheets</t>
        </is>
      </c>
    </row>
    <row r="21">
      <c r="B21" s="1" t="inlineStr">
        <is>
          <t>Summary</t>
        </is>
      </c>
      <c r="C21" s="2" t="inlineStr">
        <is>
          <t>Low / Mid / High + Selected Scenario. Programme totals ex and incl VAT.</t>
        </is>
      </c>
    </row>
    <row r="22">
      <c r="B22" s="1" t="inlineStr">
        <is>
          <t>Decisions</t>
        </is>
      </c>
      <c r="C22" s="2" t="inlineStr">
        <is>
          <t>Four dropdowns: landing page choice, when management fee starts, ad-spend phasing, VAT basis.</t>
        </is>
      </c>
    </row>
    <row r="23">
      <c r="B23" s="1" t="inlineStr">
        <is>
          <t>Assumptions</t>
        </is>
      </c>
      <c r="C23" s="2" t="inlineStr">
        <is>
          <t>VAT rate, contingency %, Stage A weeks, Stage B months.</t>
        </is>
      </c>
    </row>
    <row r="24">
      <c r="B24" s="1" t="inlineStr">
        <is>
          <t>Setup</t>
        </is>
      </c>
      <c r="C24" s="2" t="inlineStr">
        <is>
          <t>One-off preparation fee — line items that add up to the R55,000 package.</t>
        </is>
      </c>
    </row>
    <row r="25">
      <c r="B25" s="1" t="inlineStr">
        <is>
          <t>Landing Pages</t>
        </is>
      </c>
      <c r="C25" s="2" t="inlineStr">
        <is>
          <t>One-off cost to build the web page(s) adverts send people to.</t>
        </is>
      </c>
    </row>
    <row r="26">
      <c r="B26" s="1" t="inlineStr">
        <is>
          <t>Management Tiers</t>
        </is>
      </c>
      <c r="C26" s="2" t="inlineStr">
        <is>
          <t>Three monthly management options. Select the active tier.</t>
        </is>
      </c>
    </row>
    <row r="27">
      <c r="B27" s="1" t="inlineStr">
        <is>
          <t>90-Day Plan</t>
        </is>
      </c>
      <c r="C27" s="2" t="inlineStr">
        <is>
          <t>Month-by-month build of Stage B (the live campaign).</t>
        </is>
      </c>
    </row>
    <row r="28">
      <c r="B28" s="1" t="inlineStr">
        <is>
          <t>Ad Spend</t>
        </is>
      </c>
      <c r="C28" s="2" t="inlineStr">
        <is>
          <t>Media spend paid to Google / Meta / LinkedIn — not paid to Interon.</t>
        </is>
      </c>
    </row>
    <row r="29">
      <c r="B29" s="1" t="inlineStr">
        <is>
          <t>Add-Ons</t>
        </is>
      </c>
      <c r="C29" s="2" t="inlineStr">
        <is>
          <t>Optional extras with Yes/No toggles.</t>
        </is>
      </c>
    </row>
  </sheetData>
  <mergeCells count="3">
    <mergeCell ref="B20:C20"/>
    <mergeCell ref="B2:C2"/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/>
  </sheetPr>
  <dimension ref="B2:G20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32" customWidth="1" style="21" min="2" max="2"/>
    <col width="16" customWidth="1" style="21" min="3" max="5"/>
    <col width="20" customWidth="1" style="21" min="6" max="6"/>
    <col width="70" customWidth="1" style="21" min="7" max="7"/>
  </cols>
  <sheetData>
    <row r="2" ht="14.9" customHeight="1" s="21">
      <c r="B2" s="20" t="inlineStr">
        <is>
          <t>Summary — Marketing &amp; Ad Spend (ex VAT unless noted)</t>
        </is>
      </c>
    </row>
    <row r="3" ht="12.55" customHeight="1" s="21">
      <c r="B3" s="4" t="inlineStr">
        <is>
          <t>Low / Mid / High are fixed reference scenarios. Selected Scenario recalculates from the Decisions sheet.</t>
        </is>
      </c>
    </row>
    <row r="5" ht="24" customHeight="1" s="21">
      <c r="B5" s="5" t="inlineStr">
        <is>
          <t>Line</t>
        </is>
      </c>
      <c r="C5" s="5" t="inlineStr">
        <is>
          <t>Low (R)</t>
        </is>
      </c>
      <c r="D5" s="5" t="inlineStr">
        <is>
          <t>Mid (R)</t>
        </is>
      </c>
      <c r="E5" s="5" t="inlineStr">
        <is>
          <t>High (R)</t>
        </is>
      </c>
      <c r="F5" s="5" t="inlineStr">
        <is>
          <t>Selected Scenario (R)</t>
        </is>
      </c>
      <c r="G5" s="5" t="inlineStr">
        <is>
          <t>Plain English (what this is for)</t>
        </is>
      </c>
    </row>
    <row r="6" ht="14.7" customHeight="1" s="21">
      <c r="B6" s="6" t="inlineStr">
        <is>
          <t>Setup fee (once-off)</t>
        </is>
      </c>
      <c r="C6" s="7" t="n">
        <v>55000</v>
      </c>
      <c r="D6" s="7" t="n">
        <v>55000</v>
      </c>
      <c r="E6" s="7" t="n">
        <v>55000</v>
      </c>
      <c r="F6" s="8">
        <f>SETUP_FEE</f>
        <v/>
      </c>
      <c r="G6" s="9" t="inlineStr">
        <is>
          <t>One-off cost to prepare everything before the first advert runs — plans, compliance, tracking, campaign builds, ad copy.</t>
        </is>
      </c>
    </row>
    <row r="7">
      <c r="B7" s="6" t="inlineStr">
        <is>
          <t>Landing pages (once-off)</t>
        </is>
      </c>
      <c r="C7" s="7" t="n">
        <v>10000</v>
      </c>
      <c r="D7" s="7" t="n">
        <v>35000</v>
      </c>
      <c r="E7" s="7" t="n">
        <v>65000</v>
      </c>
      <c r="F7" s="8">
        <f>DEC_B1</f>
        <v/>
      </c>
      <c r="G7" s="9" t="inlineStr">
        <is>
          <t>One-off cost to build the web page(s) Google Ads sends people to.</t>
        </is>
      </c>
    </row>
    <row r="8">
      <c r="B8" s="6" t="inlineStr">
        <is>
          <t>Stage A management (prep add-on)</t>
        </is>
      </c>
      <c r="C8" s="7" t="n">
        <v>0</v>
      </c>
      <c r="D8" s="7" t="n">
        <v>0</v>
      </c>
      <c r="E8" s="7" t="n">
        <v>0</v>
      </c>
      <c r="F8" s="8">
        <f>DEC_B2</f>
        <v/>
      </c>
      <c r="G8" s="9" t="inlineStr">
        <is>
          <t>Optional monthly fee during the preparation stage, before adverts are live. Normally R0.</t>
        </is>
      </c>
    </row>
    <row r="9" ht="14.7" customHeight="1" s="21">
      <c r="B9" s="6" t="inlineStr">
        <is>
          <t>Stage B management (90 days)</t>
        </is>
      </c>
      <c r="C9" s="7" t="n">
        <v>54000</v>
      </c>
      <c r="D9" s="7" t="n">
        <v>96000</v>
      </c>
      <c r="E9" s="7" t="n">
        <v>165000</v>
      </c>
      <c r="F9" s="8">
        <f>MGMT_MONTHLY*STAGE_B_MONTHS</f>
        <v/>
      </c>
      <c r="G9" s="9" t="inlineStr">
        <is>
          <t>Interon's monthly fee while adverts are live, covering optimisation, testing, and reporting. Three months.</t>
        </is>
      </c>
    </row>
    <row r="10">
      <c r="B10" s="6" t="inlineStr">
        <is>
          <t>Ad spend (paid to platforms)</t>
        </is>
      </c>
      <c r="C10" s="7" t="n">
        <v>60000</v>
      </c>
      <c r="D10" s="7" t="n">
        <v>97500</v>
      </c>
      <c r="E10" s="7" t="n">
        <v>180000</v>
      </c>
      <c r="F10" s="8">
        <f>DEC_B5</f>
        <v/>
      </c>
      <c r="G10" s="9" t="inlineStr">
        <is>
          <t>Money paid directly to Google, Facebook, and LinkedIn. Not paid to Interon.</t>
        </is>
      </c>
    </row>
    <row r="11">
      <c r="B11" s="6" t="inlineStr">
        <is>
          <t>Optional add-ons</t>
        </is>
      </c>
      <c r="C11" s="7" t="n">
        <v>0</v>
      </c>
      <c r="D11" s="7" t="n">
        <v>0</v>
      </c>
      <c r="E11" s="7" t="n">
        <v>0</v>
      </c>
      <c r="F11" s="8">
        <f>ADDONS_TOTAL</f>
        <v/>
      </c>
      <c r="G11" s="9" t="inlineStr">
        <is>
          <t>Anything switched to Yes on the Add-Ons sheet.</t>
        </is>
      </c>
    </row>
    <row r="12">
      <c r="B12" s="6" t="inlineStr">
        <is>
          <t>Contingency (Interon fees only)</t>
        </is>
      </c>
      <c r="C12" s="7" t="n">
        <v>0</v>
      </c>
      <c r="D12" s="7" t="n">
        <v>0</v>
      </c>
      <c r="E12" s="7" t="n">
        <v>0</v>
      </c>
      <c r="F12" s="8">
        <f>IF(INCLUDE_CONTINGENCY="Yes",(F6+F7+F8+F9)*CONTINGENCY_PCT,0)</f>
        <v/>
      </c>
      <c r="G12" s="9" t="inlineStr">
        <is>
          <t>A 10% safety buffer on Interon fees for approved scope changes. Off by default.</t>
        </is>
      </c>
    </row>
    <row r="13">
      <c r="B13" s="10" t="inlineStr">
        <is>
          <t>Programme total ex VAT</t>
        </is>
      </c>
      <c r="C13" s="11">
        <f>SUM(C6:C12)</f>
        <v/>
      </c>
      <c r="D13" s="11">
        <f>SUM(D6:D12)</f>
        <v/>
      </c>
      <c r="E13" s="11">
        <f>SUM(E6:E12)</f>
        <v/>
      </c>
      <c r="F13" s="11">
        <f>SUM(F6:F12)</f>
        <v/>
      </c>
      <c r="G13" s="9" t="inlineStr">
        <is>
          <t>The full 90-day marketing investment before VAT.</t>
        </is>
      </c>
    </row>
    <row r="14">
      <c r="B14" s="10" t="inlineStr">
        <is>
          <t>VAT @ 15%</t>
        </is>
      </c>
      <c r="C14" s="8">
        <f>C13*VAT_RATE</f>
        <v/>
      </c>
      <c r="D14" s="8">
        <f>D13*VAT_RATE</f>
        <v/>
      </c>
      <c r="E14" s="8">
        <f>E13*VAT_RATE</f>
        <v/>
      </c>
      <c r="F14" s="8">
        <f>F13*VAT_RATE</f>
        <v/>
      </c>
      <c r="G14" s="9" t="inlineStr">
        <is>
          <t>South African VAT applied to the programme total.</t>
        </is>
      </c>
    </row>
    <row r="15">
      <c r="B15" s="10" t="inlineStr">
        <is>
          <t>Programme total incl VAT</t>
        </is>
      </c>
      <c r="C15" s="11">
        <f>C13+C14</f>
        <v/>
      </c>
      <c r="D15" s="11">
        <f>D13+D14</f>
        <v/>
      </c>
      <c r="E15" s="11">
        <f>E13+E14</f>
        <v/>
      </c>
      <c r="F15" s="11">
        <f>F13+F14</f>
        <v/>
      </c>
      <c r="G15" s="9" t="inlineStr">
        <is>
          <t>The full amount payable, VAT included.</t>
        </is>
      </c>
    </row>
    <row r="17">
      <c r="B17" s="22" t="inlineStr">
        <is>
          <t>Splits</t>
        </is>
      </c>
    </row>
    <row r="18" ht="16" customHeight="1" s="21">
      <c r="B18" s="5" t="inlineStr">
        <is>
          <t>Split</t>
        </is>
      </c>
      <c r="C18" s="5" t="inlineStr">
        <is>
          <t>Low (R)</t>
        </is>
      </c>
      <c r="D18" s="5" t="inlineStr">
        <is>
          <t>Mid (R)</t>
        </is>
      </c>
      <c r="E18" s="5" t="inlineStr">
        <is>
          <t>High (R)</t>
        </is>
      </c>
      <c r="F18" s="5" t="inlineStr">
        <is>
          <t>Selected (R)</t>
        </is>
      </c>
      <c r="G18" s="5" t="inlineStr">
        <is>
          <t>Plain English (what this is for)</t>
        </is>
      </c>
    </row>
    <row r="19">
      <c r="B19" s="10" t="inlineStr">
        <is>
          <t>Interon fees ex VAT</t>
        </is>
      </c>
      <c r="C19" s="8">
        <f>C6+C7+C8+C9+C11+C12</f>
        <v/>
      </c>
      <c r="D19" s="8">
        <f>D6+D7+D8+D9+D11+D12</f>
        <v/>
      </c>
      <c r="E19" s="8">
        <f>E6+E7+E8+E9+E11+E12</f>
        <v/>
      </c>
      <c r="F19" s="8">
        <f>F6+F7+F8+F9+F11+F12</f>
        <v/>
      </c>
      <c r="G19" s="9" t="inlineStr">
        <is>
          <t>What Interon is paid: setup + landing pages + management + add-ons + contingency.</t>
        </is>
      </c>
    </row>
    <row r="20">
      <c r="B20" s="10" t="inlineStr">
        <is>
          <t>Ad spend (client → platforms)</t>
        </is>
      </c>
      <c r="C20" s="8">
        <f>C10</f>
        <v/>
      </c>
      <c r="D20" s="8">
        <f>D10</f>
        <v/>
      </c>
      <c r="E20" s="8">
        <f>E10</f>
        <v/>
      </c>
      <c r="F20" s="8">
        <f>F10</f>
        <v/>
      </c>
      <c r="G20" s="9" t="inlineStr">
        <is>
          <t>What PropFlo pays directly to Google, Facebook, and LinkedIn.</t>
        </is>
      </c>
    </row>
  </sheetData>
  <mergeCells count="2">
    <mergeCell ref="B2:G2"/>
    <mergeCell ref="B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/>
  </sheetPr>
  <dimension ref="B2:I17"/>
  <sheetViews>
    <sheetView tabSelected="1" workbookViewId="0">
      <selection activeCell="E6" sqref="E6"/>
    </sheetView>
  </sheetViews>
  <sheetFormatPr baseColWidth="8" defaultRowHeight="14.6"/>
  <cols>
    <col width="3" customWidth="1" style="21" min="1" max="1"/>
    <col width="8" customWidth="1" style="21" min="2" max="2"/>
    <col width="42" customWidth="1" style="21" min="3" max="3"/>
    <col width="34" customWidth="1" style="21" min="4" max="4"/>
    <col width="16" customWidth="1" style="21" min="5" max="5"/>
    <col width="60" customWidth="1" style="21" min="6" max="6"/>
    <col width="34" customWidth="1" style="21" min="8" max="8"/>
    <col width="14" customWidth="1" style="21" min="9" max="9"/>
  </cols>
  <sheetData>
    <row r="2" ht="14.9" customHeight="1" s="21">
      <c r="B2" s="20" t="inlineStr">
        <is>
          <t>Commercial Decisions — Selected Scenario Inputs</t>
        </is>
      </c>
    </row>
    <row r="3" ht="12.55" customHeight="1" s="21">
      <c r="B3" s="4" t="inlineStr">
        <is>
          <t>Change the yellow dropdown in the Selection column. Grey cells show the resolved R value used by Summary.</t>
        </is>
      </c>
    </row>
    <row r="4">
      <c r="H4" s="22" t="inlineStr">
        <is>
          <t>Lookup values (editable)</t>
        </is>
      </c>
    </row>
    <row r="5" ht="30" customHeight="1" s="21">
      <c r="B5" s="5" t="inlineStr">
        <is>
          <t>Ref</t>
        </is>
      </c>
      <c r="C5" s="5" t="inlineStr">
        <is>
          <t>Decision</t>
        </is>
      </c>
      <c r="D5" s="5" t="inlineStr">
        <is>
          <t>Selection</t>
        </is>
      </c>
      <c r="E5" s="5" t="inlineStr">
        <is>
          <t>Resolved (R)</t>
        </is>
      </c>
      <c r="F5" s="5" t="inlineStr">
        <is>
          <t>Plain English (what this is for)</t>
        </is>
      </c>
    </row>
    <row r="6" ht="30" customHeight="1" s="21">
      <c r="B6" s="12" t="inlineStr">
        <is>
          <t>B1</t>
        </is>
      </c>
      <c r="C6" s="6" t="inlineStr">
        <is>
          <t>Which landing page option?</t>
        </is>
      </c>
      <c r="D6" s="13" t="inlineStr">
        <is>
          <t>Interim page (R10,000)</t>
        </is>
      </c>
      <c r="E6" s="8">
        <f>VLOOKUP(D6,$H$6:$I$9,2,FALSE)</f>
        <v/>
      </c>
      <c r="F6" s="9" t="inlineStr">
        <is>
          <t>The web page(s) Google Ads sends people to. Bigger = more pages for different audiences, better conversion. Interim = single quick page to get started.</t>
        </is>
      </c>
      <c r="H6" s="14" t="inlineStr">
        <is>
          <t>Interim page (R10,000)</t>
        </is>
      </c>
      <c r="I6" s="7" t="n">
        <v>10000</v>
      </c>
    </row>
    <row r="7" ht="30" customHeight="1" s="21">
      <c r="B7" s="12" t="inlineStr">
        <is>
          <t>B2</t>
        </is>
      </c>
      <c r="C7" s="6" t="inlineStr">
        <is>
          <t>When does the monthly management fee start?</t>
        </is>
      </c>
      <c r="D7" s="13" t="inlineStr">
        <is>
          <t>At launch (Day 0)</t>
        </is>
      </c>
      <c r="E7" s="8">
        <f>VLOOKUP(D7,$H$10:$I$12,2,FALSE)</f>
        <v/>
      </c>
      <c r="F7" s="9" t="inlineStr">
        <is>
          <t>The monthly Interon fee only makes sense once adverts are live. Options: no charge during prep (recommended), a small prep-coordination fee, or full fee from kick-off.</t>
        </is>
      </c>
      <c r="H7" s="14" t="inlineStr">
        <is>
          <t>Basic (R15,500)</t>
        </is>
      </c>
      <c r="I7" s="7" t="n">
        <v>15500</v>
      </c>
    </row>
    <row r="8" ht="30" customHeight="1" s="21">
      <c r="B8" s="12" t="inlineStr">
        <is>
          <t>B5</t>
        </is>
      </c>
      <c r="C8" s="6" t="inlineStr">
        <is>
          <t>Ad-spend phasing across the 90-day live campaign</t>
        </is>
      </c>
      <c r="D8" s="13" t="inlineStr">
        <is>
          <t>Phased (25/30/40)</t>
        </is>
      </c>
      <c r="E8" s="8">
        <f>VLOOKUP(D8,$H$13:$I$15,2,FALSE)</f>
        <v/>
      </c>
      <c r="F8" s="9" t="inlineStr">
        <is>
          <t>How much is paid to Google / Meta / LinkedIn each month. Phased = start small, grow with evidence. Flat = same every month. Custom = set your own numbers on Ad Spend sheet.</t>
        </is>
      </c>
      <c r="H8" s="14" t="inlineStr">
        <is>
          <t>Conversion set (R35,000)</t>
        </is>
      </c>
      <c r="I8" s="7" t="n">
        <v>35000</v>
      </c>
    </row>
    <row r="9" ht="30" customHeight="1" s="21">
      <c r="B9" s="12" t="inlineStr">
        <is>
          <t>B6</t>
        </is>
      </c>
      <c r="C9" s="6" t="inlineStr">
        <is>
          <t>VAT basis for the client-facing headline number</t>
        </is>
      </c>
      <c r="D9" s="13" t="inlineStr">
        <is>
          <t>Ex VAT (VAT shown separately)</t>
        </is>
      </c>
      <c r="E9" s="15" t="inlineStr">
        <is>
          <t>Presentation only</t>
        </is>
      </c>
      <c r="F9" s="9" t="inlineStr">
        <is>
          <t>How the total is shown to the client. Ex VAT is the norm for B2B in South Africa. Incl VAT shows the full amount payable.</t>
        </is>
      </c>
      <c r="H9" s="14" t="inlineStr">
        <is>
          <t>Full site (R65,000)</t>
        </is>
      </c>
      <c r="I9" s="7" t="n">
        <v>65000</v>
      </c>
    </row>
    <row r="10">
      <c r="H10" s="14" t="inlineStr">
        <is>
          <t>At launch (Day 0)</t>
        </is>
      </c>
      <c r="I10" s="7" t="n">
        <v>0</v>
      </c>
    </row>
    <row r="11">
      <c r="H11" s="14" t="inlineStr">
        <is>
          <t>Prep-coordination fee</t>
        </is>
      </c>
      <c r="I11" s="7" t="n">
        <v>12000</v>
      </c>
    </row>
    <row r="12">
      <c r="H12" s="14" t="inlineStr">
        <is>
          <t>Full from kick-off</t>
        </is>
      </c>
      <c r="I12" s="7" t="n">
        <v>80000</v>
      </c>
    </row>
    <row r="13">
      <c r="H13" s="14" t="inlineStr">
        <is>
          <t>Phased (25/30/40)</t>
        </is>
      </c>
      <c r="I13" s="7" t="n">
        <v>95000</v>
      </c>
    </row>
    <row r="14">
      <c r="H14" s="14" t="inlineStr">
        <is>
          <t>Flat R32k</t>
        </is>
      </c>
      <c r="I14" s="7" t="n">
        <v>96000</v>
      </c>
    </row>
    <row r="15">
      <c r="H15" s="14" t="inlineStr">
        <is>
          <t>Custom</t>
        </is>
      </c>
      <c r="I15" s="7">
        <f>'Ad Spend'!$F$8</f>
        <v/>
      </c>
    </row>
    <row r="16">
      <c r="H16" t="inlineStr">
        <is>
          <t>Ex VAT (VAT shown separately)</t>
        </is>
      </c>
    </row>
    <row r="17">
      <c r="H17" t="inlineStr">
        <is>
          <t>Incl VAT</t>
        </is>
      </c>
    </row>
  </sheetData>
  <mergeCells count="2">
    <mergeCell ref="B2:F2"/>
    <mergeCell ref="H4:I4"/>
  </mergeCells>
  <dataValidations count="4">
    <dataValidation sqref="D6" showDropDown="0" showInputMessage="0" showErrorMessage="1" allowBlank="1" errorTitle="Invalid selection" error="Pick a value from the dropdown." type="list">
      <formula1>=Decisions!$H$6:$H$9</formula1>
    </dataValidation>
    <dataValidation sqref="D7" showDropDown="0" showInputMessage="0" showErrorMessage="1" allowBlank="1" errorTitle="Invalid selection" error="Pick a value from the dropdown." type="list">
      <formula1>=Decisions!$H$10:$H$12</formula1>
    </dataValidation>
    <dataValidation sqref="D8" showDropDown="0" showInputMessage="0" showErrorMessage="1" allowBlank="1" errorTitle="Invalid selection" error="Pick a value from the dropdown." type="list">
      <formula1>=Decisions!$H$13:$H$15</formula1>
    </dataValidation>
    <dataValidation sqref="D9" showDropDown="0" showInputMessage="0" showErrorMessage="1" allowBlank="1" errorTitle="Invalid selection" error="Pick a value from the dropdown." type="list">
      <formula1>=Decisions!$H$16:$H$17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40" customWidth="1" style="21" min="2" max="2"/>
    <col width="18" customWidth="1" style="21" min="3" max="3"/>
    <col width="90" customWidth="1" style="21" min="4" max="4"/>
  </cols>
  <sheetData>
    <row r="2" ht="14.9" customHeight="1" s="21">
      <c r="B2" s="20" t="inlineStr">
        <is>
          <t>Assumptions</t>
        </is>
      </c>
    </row>
    <row r="4" ht="16" customHeight="1" s="21">
      <c r="B4" s="5" t="inlineStr">
        <is>
          <t>Assumption</t>
        </is>
      </c>
      <c r="C4" s="5" t="inlineStr">
        <is>
          <t>Value</t>
        </is>
      </c>
      <c r="D4" s="5" t="inlineStr">
        <is>
          <t>Plain English (what this is for)</t>
        </is>
      </c>
    </row>
    <row r="5">
      <c r="B5" s="6" t="inlineStr">
        <is>
          <t>VAT rate</t>
        </is>
      </c>
      <c r="C5" s="16" t="n">
        <v>0.15</v>
      </c>
      <c r="D5" s="9" t="inlineStr">
        <is>
          <t>South African VAT. Change here to update the incl-VAT line on Summary.</t>
        </is>
      </c>
    </row>
    <row r="6">
      <c r="B6" s="6" t="inlineStr">
        <is>
          <t>Currency</t>
        </is>
      </c>
      <c r="C6" s="13" t="inlineStr">
        <is>
          <t>ZAR</t>
        </is>
      </c>
      <c r="D6" s="9" t="inlineStr">
        <is>
          <t>All figures in South African Rand.</t>
        </is>
      </c>
    </row>
    <row r="7">
      <c r="B7" s="6" t="inlineStr">
        <is>
          <t>Stage A duration (weeks)</t>
        </is>
      </c>
      <c r="C7" s="17" t="n">
        <v>10</v>
      </c>
      <c r="D7" s="9" t="inlineStr">
        <is>
          <t>Preparation stage — the weeks before any advert goes live. Used to plan, build, test, and get approvals.</t>
        </is>
      </c>
    </row>
    <row r="8">
      <c r="B8" s="6" t="inlineStr">
        <is>
          <t>Stage B duration (months)</t>
        </is>
      </c>
      <c r="C8" s="17" t="n">
        <v>3</v>
      </c>
      <c r="D8" s="9" t="inlineStr">
        <is>
          <t>Live campaign duration — the 90-day period when adverts are running and money is being spent on media.</t>
        </is>
      </c>
    </row>
    <row r="9">
      <c r="B9" s="6" t="inlineStr">
        <is>
          <t>Contingency (% of Interon fees)</t>
        </is>
      </c>
      <c r="C9" s="16" t="n">
        <v>0.1</v>
      </c>
      <c r="D9" s="9" t="inlineStr">
        <is>
          <t>A safety buffer added on top of Interon fees to cover approved scope changes. Applied to setup + management only.</t>
        </is>
      </c>
    </row>
    <row r="10">
      <c r="B10" s="6" t="inlineStr">
        <is>
          <t>Include contingency in totals?</t>
        </is>
      </c>
      <c r="C10" s="13" t="inlineStr">
        <is>
          <t>No</t>
        </is>
      </c>
      <c r="D10" s="9" t="inlineStr">
        <is>
          <t>Switch to Yes to add the contingency line to Summary totals.</t>
        </is>
      </c>
    </row>
  </sheetData>
  <mergeCells count="1">
    <mergeCell ref="B2:D2"/>
  </mergeCells>
  <dataValidations count="1">
    <dataValidation sqref="C1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2F5597"/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40" customWidth="1" style="21" min="2" max="2"/>
    <col width="18" customWidth="1" style="21" min="3" max="3"/>
    <col width="80" customWidth="1" style="21" min="4" max="4"/>
  </cols>
  <sheetData>
    <row r="2" ht="14.9" customHeight="1" s="21">
      <c r="B2" s="20" t="inlineStr">
        <is>
          <t>Setup Fee — Line-Item Build (once-off, ex VAT)</t>
        </is>
      </c>
    </row>
    <row r="3" ht="12.55" customHeight="1" s="21">
      <c r="B3" s="4" t="inlineStr">
        <is>
          <t>The R55,000 setup fee is a discounted package. Line items are indicative allocations; the package price is the commercial figure.</t>
        </is>
      </c>
    </row>
    <row r="5" ht="16" customHeight="1" s="21">
      <c r="B5" s="5" t="inlineStr">
        <is>
          <t>Line item</t>
        </is>
      </c>
      <c r="C5" s="5" t="inlineStr">
        <is>
          <t>Ex VAT</t>
        </is>
      </c>
      <c r="D5" s="5" t="inlineStr">
        <is>
          <t>Plain English (what this is for)</t>
        </is>
      </c>
    </row>
    <row r="6">
      <c r="B6" s="6" t="inlineStr">
        <is>
          <t>Discovery, strategy and planning</t>
        </is>
      </c>
      <c r="C6" s="18" t="n">
        <v>8500</v>
      </c>
      <c r="D6" s="9" t="inlineStr">
        <is>
          <t>Time spent understanding the business, deciding who the marketing targets, and setting the 90-day plan.</t>
        </is>
      </c>
    </row>
    <row r="7" ht="14.7" customHeight="1" s="21">
      <c r="B7" s="6" t="inlineStr">
        <is>
          <t>Compliance questions and claims preparation</t>
        </is>
      </c>
      <c r="C7" s="18" t="n">
        <v>6500</v>
      </c>
      <c r="D7" s="9" t="inlineStr">
        <is>
          <t>Working out what PropFlo is legally allowed to say in adverts and on the website. Finance is regulated in South Africa.</t>
        </is>
      </c>
    </row>
    <row r="8" ht="14.7" customHeight="1" s="21">
      <c r="B8" s="6" t="inlineStr">
        <is>
          <t>Competitor and keyword research</t>
        </is>
      </c>
      <c r="C8" s="18" t="n">
        <v>6500</v>
      </c>
      <c r="D8" s="9" t="inlineStr">
        <is>
          <t>Studying what other bridging-finance companies do, and finding the exact words people type into Google when they need this service.</t>
        </is>
      </c>
    </row>
    <row r="9" ht="14.7" customHeight="1" s="21">
      <c r="B9" s="6" t="inlineStr">
        <is>
          <t>Funnel and landing page planning</t>
        </is>
      </c>
      <c r="C9" s="18" t="n">
        <v>7500</v>
      </c>
      <c r="D9" s="9" t="inlineStr">
        <is>
          <t>Designing the path a person takes from Google click → website → enquiry form → sales team, and deciding what each page needs to say.</t>
        </is>
      </c>
    </row>
    <row r="10" ht="14.7" customHeight="1" s="21">
      <c r="B10" s="6" t="inlineStr">
        <is>
          <t>Tracking and reporting structure</t>
        </is>
      </c>
      <c r="C10" s="18" t="n">
        <v>7500</v>
      </c>
      <c r="D10" s="9" t="inlineStr">
        <is>
          <t>Setting up Google Analytics, Google Ads conversion tracking, and tags so we can see which adverts produce enquiries — and which produce funded deals.</t>
        </is>
      </c>
    </row>
    <row r="11">
      <c r="B11" s="6" t="inlineStr">
        <is>
          <t>Google Ads campaign setup</t>
        </is>
      </c>
      <c r="C11" s="18" t="n">
        <v>7500</v>
      </c>
      <c r="D11" s="9" t="inlineStr">
        <is>
          <t>Building the Google Ads account: search campaigns, ad groups, keywords, adverts, and bid strategy.</t>
        </is>
      </c>
    </row>
    <row r="12" ht="14.7" customHeight="1" s="21">
      <c r="B12" s="6" t="inlineStr">
        <is>
          <t>Meta retargeting setup</t>
        </is>
      </c>
      <c r="C12" s="18" t="n">
        <v>4500</v>
      </c>
      <c r="D12" s="9" t="inlineStr">
        <is>
          <t>Building Facebook and Instagram adverts that follow up with people who visited the website but did not enquire.</t>
        </is>
      </c>
    </row>
    <row r="13">
      <c r="B13" s="6" t="inlineStr">
        <is>
          <t>LinkedIn partner campaign setup</t>
        </is>
      </c>
      <c r="C13" s="18" t="n">
        <v>4500</v>
      </c>
      <c r="D13" s="9" t="inlineStr">
        <is>
          <t>Setting up LinkedIn to reach estate agents and conveyancers who can refer sellers to PropFlo.</t>
        </is>
      </c>
    </row>
    <row r="14" ht="14.7" customHeight="1" s="21">
      <c r="B14" s="6" t="inlineStr">
        <is>
          <t>Initial copy and creative direction</t>
        </is>
      </c>
      <c r="C14" s="18" t="n">
        <v>6500</v>
      </c>
      <c r="D14" s="9" t="inlineStr">
        <is>
          <t>Writing the first version of the words, headlines, and visual style used across adverts, landing pages, and follow-up messages.</t>
        </is>
      </c>
    </row>
    <row r="15">
      <c r="B15" s="6" t="inlineStr">
        <is>
          <t>Partner outreach framework</t>
        </is>
      </c>
      <c r="C15" s="18" t="n">
        <v>2000</v>
      </c>
      <c r="D15" s="9" t="inlineStr">
        <is>
          <t>Preparing the material used to introduce PropFlo to estate agents and conveyancers as a referral partner.</t>
        </is>
      </c>
    </row>
    <row r="16">
      <c r="B16" s="10" t="inlineStr">
        <is>
          <t>Line-item total (undiscounted)</t>
        </is>
      </c>
      <c r="C16" s="11">
        <f>SUM(C6:C15)</f>
        <v/>
      </c>
      <c r="D16" s="9" t="inlineStr">
        <is>
          <t>What the setup would cost if each line was quoted separately. Sums to R61,500.</t>
        </is>
      </c>
    </row>
    <row r="17">
      <c r="B17" s="10" t="inlineStr">
        <is>
          <t>Packaged setup fee (discounted)</t>
        </is>
      </c>
      <c r="C17" s="18" t="n">
        <v>55000</v>
      </c>
      <c r="D17" s="9" t="inlineStr">
        <is>
          <t>The single once-off setup fee — a discounted package covering everything above.</t>
        </is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2F5597"/>
    <outlinePr summaryBelow="1" summaryRight="1"/>
    <pageSetUpPr/>
  </sheetPr>
  <dimension ref="B2:F12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32" customWidth="1" style="21" min="2" max="2"/>
    <col width="16" customWidth="1" style="21" min="3" max="5"/>
    <col width="80" customWidth="1" style="21" min="6" max="6"/>
  </cols>
  <sheetData>
    <row r="2" ht="14.9" customHeight="1" s="21">
      <c r="B2" s="20" t="inlineStr">
        <is>
          <t>Landing Page Options (once-off, ex VAT)</t>
        </is>
      </c>
    </row>
    <row r="3" ht="12.55" customHeight="1" s="21">
      <c r="B3" s="4" t="inlineStr">
        <is>
          <t>The "landing page" is the web page adverts send people to. The right choice depends on how many audiences we need to serve at launch.</t>
        </is>
      </c>
    </row>
    <row r="5" ht="16" customHeight="1" s="21">
      <c r="B5" s="5" t="inlineStr">
        <is>
          <t>Option</t>
        </is>
      </c>
      <c r="C5" s="5" t="inlineStr">
        <is>
          <t>Low (R)</t>
        </is>
      </c>
      <c r="D5" s="5" t="inlineStr">
        <is>
          <t>High (R)</t>
        </is>
      </c>
      <c r="E5" s="5" t="inlineStr">
        <is>
          <t>Selected (R)</t>
        </is>
      </c>
      <c r="F5" s="5" t="inlineStr">
        <is>
          <t>Plain English (what this is for)</t>
        </is>
      </c>
    </row>
    <row r="6" ht="14.7" customHeight="1" s="21">
      <c r="B6" s="10" t="inlineStr">
        <is>
          <t>Interim page</t>
        </is>
      </c>
      <c r="C6" s="7" t="n">
        <v>8000</v>
      </c>
      <c r="D6" s="7" t="n">
        <v>15000</v>
      </c>
      <c r="E6" s="18" t="n">
        <v>10000</v>
      </c>
      <c r="F6" s="9" t="inlineStr">
        <is>
          <t>A single quick page to get started while a bigger website is being built separately. Keeps the launch on schedule.</t>
        </is>
      </c>
    </row>
    <row r="7" ht="14.7" customHeight="1" s="21">
      <c r="B7" s="10" t="inlineStr">
        <is>
          <t>Basic landing page</t>
        </is>
      </c>
      <c r="C7" s="7" t="n">
        <v>12500</v>
      </c>
      <c r="D7" s="7" t="n">
        <v>18500</v>
      </c>
      <c r="E7" s="18" t="n">
        <v>15500</v>
      </c>
      <c r="F7" s="9" t="inlineStr">
        <is>
          <t>One dedicated page for property sellers to land on from Google ads and submit an enquiry. Just enough to test the funnel.</t>
        </is>
      </c>
    </row>
    <row r="8" ht="14.7" customHeight="1" s="21">
      <c r="B8" s="10" t="inlineStr">
        <is>
          <t>Conversion landing page set</t>
        </is>
      </c>
      <c r="C8" s="7" t="n">
        <v>25000</v>
      </c>
      <c r="D8" s="7" t="n">
        <v>45000</v>
      </c>
      <c r="E8" s="18" t="n">
        <v>35000</v>
      </c>
      <c r="F8" s="9" t="inlineStr">
        <is>
          <t>A small group of pages: seller page, partner-referral page, FAQ, and thank-you page. Handles the different audiences properly. Recommended.</t>
        </is>
      </c>
    </row>
    <row r="9" ht="14.7" customHeight="1" s="21">
      <c r="B9" s="10" t="inlineStr">
        <is>
          <t>Full website improvement</t>
        </is>
      </c>
      <c r="C9" s="7" t="n">
        <v>45000</v>
      </c>
      <c r="D9" s="7" t="n">
        <v>85000</v>
      </c>
      <c r="E9" s="18" t="n">
        <v>65000</v>
      </c>
      <c r="F9" s="9" t="inlineStr">
        <is>
          <t>A broader website refresh with better structure, mobile experience, and tracking. Bigger investment, longer to build.</t>
        </is>
      </c>
    </row>
    <row r="11">
      <c r="B11" s="22" t="inlineStr">
        <is>
          <t>Decision B1 currently resolves to:</t>
        </is>
      </c>
    </row>
    <row r="12">
      <c r="B12" s="10" t="inlineStr">
        <is>
          <t>Landing pages (Selected Scenario)</t>
        </is>
      </c>
      <c r="C12" s="8">
        <f>DEC_B1</f>
        <v/>
      </c>
      <c r="D12" s="6" t="n"/>
      <c r="E12" s="6" t="n"/>
      <c r="F12" s="9" t="inlineStr">
        <is>
          <t>Change the selection on the Decisions sheet.</t>
        </is>
      </c>
    </row>
  </sheetData>
  <mergeCells count="2">
    <mergeCell ref="B2:F2"/>
    <mergeCell ref="B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F5597"/>
    <outlinePr summaryBelow="1" summaryRight="1"/>
    <pageSetUpPr/>
  </sheetPr>
  <dimension ref="B2:E11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24" customWidth="1" style="21" min="2" max="2"/>
    <col width="16" customWidth="1" style="21" min="3" max="3"/>
    <col width="18" customWidth="1" style="21" min="4" max="4"/>
    <col width="90" customWidth="1" style="21" min="5" max="5"/>
  </cols>
  <sheetData>
    <row r="2" ht="14.9" customHeight="1" s="21">
      <c r="B2" s="20" t="inlineStr">
        <is>
          <t>Monthly Management Tiers (ex VAT)</t>
        </is>
      </c>
    </row>
    <row r="3" ht="12.55" customHeight="1" s="21">
      <c r="B3" s="4" t="inlineStr">
        <is>
          <t>Three tiers of ongoing agency support while adverts are live. Select the active tier at the bottom — it feeds Summary.</t>
        </is>
      </c>
    </row>
    <row r="5" ht="16" customHeight="1" s="21">
      <c r="B5" s="5" t="inlineStr">
        <is>
          <t>Tier</t>
        </is>
      </c>
      <c r="C5" s="5" t="inlineStr">
        <is>
          <t>Monthly (R)</t>
        </is>
      </c>
      <c r="D5" s="5" t="inlineStr">
        <is>
          <t>3-month total (R)</t>
        </is>
      </c>
      <c r="E5" s="5" t="inlineStr">
        <is>
          <t>Plain English (what this is for)</t>
        </is>
      </c>
    </row>
    <row r="6" ht="14.7" customHeight="1" s="21">
      <c r="B6" s="10" t="inlineStr">
        <is>
          <t>Controlled Launch</t>
        </is>
      </c>
      <c r="C6" s="18" t="n">
        <v>18000</v>
      </c>
      <c r="D6" s="8">
        <f>C6*STAGE_B_MONTHS</f>
        <v/>
      </c>
      <c r="E6" s="9" t="inlineStr">
        <is>
          <t>The minimum agency support to keep Google Ads running and produce a monthly report. Suits a small, cautious first launch.</t>
        </is>
      </c>
    </row>
    <row r="7" ht="14.7" customHeight="1" s="21">
      <c r="B7" s="10" t="inlineStr">
        <is>
          <t>Growth Management</t>
        </is>
      </c>
      <c r="C7" s="18" t="n">
        <v>32000</v>
      </c>
      <c r="D7" s="8">
        <f>C7*STAGE_B_MONTHS</f>
        <v/>
      </c>
      <c r="E7" s="9" t="inlineStr">
        <is>
          <t>Google Ads plus Facebook retargeting, landing-page tweaks, monthly reporting, strategy call, and campaign testing. The recommended default.</t>
        </is>
      </c>
    </row>
    <row r="8" ht="14.7" customHeight="1" s="21">
      <c r="B8" s="10" t="inlineStr">
        <is>
          <t>Full Agency Management</t>
        </is>
      </c>
      <c r="C8" s="18" t="n">
        <v>55000</v>
      </c>
      <c r="D8" s="8">
        <f>C8*STAGE_B_MONTHS</f>
        <v/>
      </c>
      <c r="E8" s="9" t="inlineStr">
        <is>
          <t>Everything in Growth plus LinkedIn, SEO content coordination, email/WhatsApp follow-ups, and a quarterly review. For aggressive growth.</t>
        </is>
      </c>
    </row>
    <row r="10" ht="16.65" customHeight="1" s="21">
      <c r="B10" s="10" t="inlineStr">
        <is>
          <t>Selected tier</t>
        </is>
      </c>
      <c r="C10" s="13" t="inlineStr">
        <is>
          <t>Growth Management</t>
        </is>
      </c>
      <c r="D10" s="6" t="inlineStr">
        <is>
          <t>Monthly rate →</t>
        </is>
      </c>
      <c r="E10" s="8">
        <f>VLOOKUP(C10,B6:C8,2,FALSE)</f>
        <v/>
      </c>
    </row>
    <row r="11">
      <c r="B11" s="10" t="inlineStr">
        <is>
          <t>Stage B total (3 months)</t>
        </is>
      </c>
      <c r="C11" s="6" t="n"/>
      <c r="D11" s="6" t="n"/>
      <c r="E11" s="8">
        <f>MGMT_MONTHLY*STAGE_B_MONTHS</f>
        <v/>
      </c>
    </row>
  </sheetData>
  <mergeCells count="1">
    <mergeCell ref="B2:E2"/>
  </mergeCells>
  <dataValidations count="1">
    <dataValidation sqref="C10" showDropDown="0" showInputMessage="0" showErrorMessage="0" allowBlank="0" type="list">
      <formula1>"Controlled Launch,Growth Management,Full Agency Management"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2F5597"/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30" customWidth="1" style="21" min="2" max="2"/>
    <col width="16" customWidth="1" style="21" min="3" max="5"/>
    <col width="18" customWidth="1" style="21" min="6" max="6"/>
    <col width="70" customWidth="1" style="21" min="7" max="7"/>
  </cols>
  <sheetData>
    <row r="2" ht="14.9" customHeight="1" s="21">
      <c r="B2" s="20" t="inlineStr">
        <is>
          <t>Stage B — 90-Day Live Campaign Build (ex VAT)</t>
        </is>
      </c>
    </row>
    <row r="3" ht="12.55" customHeight="1" s="21">
      <c r="B3" s="4" t="inlineStr">
        <is>
          <t>Month-by-month cash view of the live campaign. Uses the resolved decisions and the selected management tier.</t>
        </is>
      </c>
    </row>
    <row r="5" ht="16" customHeight="1" s="21">
      <c r="B5" s="5" t="inlineStr">
        <is>
          <t>Line</t>
        </is>
      </c>
      <c r="C5" s="5" t="inlineStr">
        <is>
          <t>Month 1</t>
        </is>
      </c>
      <c r="D5" s="5" t="inlineStr">
        <is>
          <t>Month 2</t>
        </is>
      </c>
      <c r="E5" s="5" t="inlineStr">
        <is>
          <t>Month 3</t>
        </is>
      </c>
      <c r="F5" s="5" t="inlineStr">
        <is>
          <t>90-day total</t>
        </is>
      </c>
      <c r="G5" s="5" t="inlineStr">
        <is>
          <t>Plain English (what this is for)</t>
        </is>
      </c>
    </row>
    <row r="6">
      <c r="B6" s="6" t="inlineStr">
        <is>
          <t>Setup (once-off)</t>
        </is>
      </c>
      <c r="C6" s="8">
        <f>SETUP_FEE</f>
        <v/>
      </c>
      <c r="D6" s="7" t="n">
        <v>0</v>
      </c>
      <c r="E6" s="7" t="n">
        <v>0</v>
      </c>
      <c r="F6" s="8">
        <f>SUM(C6:E6)</f>
        <v/>
      </c>
      <c r="G6" s="9" t="inlineStr">
        <is>
          <t>Billed on kick-off. Covers the preparation work before adverts go live.</t>
        </is>
      </c>
    </row>
    <row r="7">
      <c r="B7" s="6" t="inlineStr">
        <is>
          <t>Landing pages (once-off)</t>
        </is>
      </c>
      <c r="C7" s="8">
        <f>DEC_B1</f>
        <v/>
      </c>
      <c r="D7" s="7" t="n">
        <v>0</v>
      </c>
      <c r="E7" s="7" t="n">
        <v>0</v>
      </c>
      <c r="F7" s="8">
        <f>SUM(C7:E7)</f>
        <v/>
      </c>
      <c r="G7" s="9" t="inlineStr">
        <is>
          <t>Builds the web page(s) Google Ads sends people to.</t>
        </is>
      </c>
    </row>
    <row r="8">
      <c r="B8" s="6" t="inlineStr">
        <is>
          <t>Monthly management</t>
        </is>
      </c>
      <c r="C8" s="8">
        <f>MGMT_MONTHLY</f>
        <v/>
      </c>
      <c r="D8" s="8">
        <f>MGMT_MONTHLY</f>
        <v/>
      </c>
      <c r="E8" s="8">
        <f>MGMT_MONTHLY</f>
        <v/>
      </c>
      <c r="F8" s="8">
        <f>SUM(C8:E8)</f>
        <v/>
      </c>
      <c r="G8" s="9" t="inlineStr">
        <is>
          <t>Interon's monthly fee to run, optimise, and report on the campaigns.</t>
        </is>
      </c>
    </row>
    <row r="9">
      <c r="B9" s="6" t="inlineStr">
        <is>
          <t>Ad spend (to platforms)</t>
        </is>
      </c>
      <c r="C9" s="8">
        <f>'Ad Spend'!$C$12</f>
        <v/>
      </c>
      <c r="D9" s="8">
        <f>'Ad Spend'!$D$12</f>
        <v/>
      </c>
      <c r="E9" s="8">
        <f>'Ad Spend'!$E$12</f>
        <v/>
      </c>
      <c r="F9" s="8">
        <f>DEC_B5</f>
        <v/>
      </c>
      <c r="G9" s="9" t="inlineStr">
        <is>
          <t>Money paid directly by PropFlo to Google, Facebook, and LinkedIn. Not an Interon fee.</t>
        </is>
      </c>
    </row>
    <row r="10">
      <c r="B10" s="6" t="inlineStr">
        <is>
          <t>Stage A management (if any)</t>
        </is>
      </c>
      <c r="C10" s="8">
        <f>DEC_B2</f>
        <v/>
      </c>
      <c r="D10" s="7" t="n">
        <v>0</v>
      </c>
      <c r="E10" s="7" t="n">
        <v>0</v>
      </c>
      <c r="F10" s="8">
        <f>SUM(C10:E10)</f>
        <v/>
      </c>
      <c r="G10" s="9" t="inlineStr">
        <is>
          <t>Only non-zero if Decision B2 is not "At launch". Optional prep-period fee.</t>
        </is>
      </c>
    </row>
    <row r="11">
      <c r="B11" s="10" t="inlineStr">
        <is>
          <t>Monthly total (ex VAT)</t>
        </is>
      </c>
      <c r="C11" s="11">
        <f>SUM(C6:C10)</f>
        <v/>
      </c>
      <c r="D11" s="11">
        <f>SUM(D6:D10)</f>
        <v/>
      </c>
      <c r="E11" s="11">
        <f>SUM(E6:E10)</f>
        <v/>
      </c>
      <c r="F11" s="11">
        <f>SUM(F6:F10)</f>
        <v/>
      </c>
      <c r="G11" s="9" t="inlineStr">
        <is>
          <t>Selected Scenario 90-day total investment.</t>
        </is>
      </c>
    </row>
  </sheetData>
  <mergeCells count="1">
    <mergeCell ref="B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2F5597"/>
    <outlinePr summaryBelow="1" summaryRight="1"/>
    <pageSetUpPr/>
  </sheetPr>
  <dimension ref="B2:G12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20" customWidth="1" style="21" min="2" max="2"/>
    <col width="16" customWidth="1" style="21" min="3" max="5"/>
    <col width="18" customWidth="1" style="21" min="6" max="6"/>
    <col width="80" customWidth="1" style="21" min="7" max="7"/>
  </cols>
  <sheetData>
    <row r="2" ht="14.9" customHeight="1" s="21">
      <c r="B2" s="20" t="inlineStr">
        <is>
          <t>Ad Spend Phasing (ex VAT, paid to platforms)</t>
        </is>
      </c>
    </row>
    <row r="3" ht="12.55" customHeight="1" s="21">
      <c r="B3" s="4" t="inlineStr">
        <is>
          <t>Three phasing options. The Selected row below feeds the 90-Day Plan and the Summary.</t>
        </is>
      </c>
    </row>
    <row r="5" ht="16" customHeight="1" s="21">
      <c r="B5" s="5" t="inlineStr">
        <is>
          <t>Option</t>
        </is>
      </c>
      <c r="C5" s="5" t="inlineStr">
        <is>
          <t>Month 1</t>
        </is>
      </c>
      <c r="D5" s="5" t="inlineStr">
        <is>
          <t>Month 2</t>
        </is>
      </c>
      <c r="E5" s="5" t="inlineStr">
        <is>
          <t>Month 3</t>
        </is>
      </c>
      <c r="F5" s="5" t="inlineStr">
        <is>
          <t>90-day total</t>
        </is>
      </c>
      <c r="G5" s="5" t="inlineStr">
        <is>
          <t>Plain English (what this is for)</t>
        </is>
      </c>
    </row>
    <row r="6" ht="14.7" customHeight="1" s="21">
      <c r="B6" s="10" t="inlineStr">
        <is>
          <t>Phased (25/30/40)</t>
        </is>
      </c>
      <c r="C6" s="18" t="n">
        <v>25000</v>
      </c>
      <c r="D6" s="18" t="n">
        <v>30000</v>
      </c>
      <c r="E6" s="18" t="n">
        <v>40000</v>
      </c>
      <c r="F6" s="8">
        <f>SUM(C6:E6)</f>
        <v/>
      </c>
      <c r="G6" s="9" t="inlineStr">
        <is>
          <t>Start small to test which adverts, keywords, and audiences actually produce enquiries. Increase spend only on the winners. Lowers wasted spend in Month 1.</t>
        </is>
      </c>
    </row>
    <row r="7" ht="14.7" customHeight="1" s="21">
      <c r="B7" s="10" t="inlineStr">
        <is>
          <t>Flat R32k</t>
        </is>
      </c>
      <c r="C7" s="18" t="n">
        <v>32000</v>
      </c>
      <c r="D7" s="18" t="n">
        <v>32000</v>
      </c>
      <c r="E7" s="18" t="n">
        <v>32000</v>
      </c>
      <c r="F7" s="8">
        <f>SUM(C7:E7)</f>
        <v/>
      </c>
      <c r="G7" s="9" t="inlineStr">
        <is>
          <t>Same amount every month. Easier for the finance team to budget, but less efficient — you spend the full amount before knowing what works.</t>
        </is>
      </c>
    </row>
    <row r="8">
      <c r="B8" s="10" t="inlineStr">
        <is>
          <t>Custom</t>
        </is>
      </c>
      <c r="C8" s="18" t="n">
        <v>25000</v>
      </c>
      <c r="D8" s="18" t="n">
        <v>30000</v>
      </c>
      <c r="E8" s="18" t="n">
        <v>40000</v>
      </c>
      <c r="F8" s="8">
        <f>SUM(C8:E8)</f>
        <v/>
      </c>
      <c r="G8" s="9" t="inlineStr">
        <is>
          <t>Set your own monthly amounts. The total here is what feeds Decision B5 when "Custom" is chosen.</t>
        </is>
      </c>
    </row>
    <row r="10">
      <c r="B10" s="22" t="inlineStr">
        <is>
          <t>Selected phasing (from Decision B5)</t>
        </is>
      </c>
    </row>
    <row r="11" ht="16" customHeight="1" s="21">
      <c r="B11" s="5" t="inlineStr">
        <is>
          <t>Selection</t>
        </is>
      </c>
      <c r="C11" s="5" t="inlineStr">
        <is>
          <t>Month 1</t>
        </is>
      </c>
      <c r="D11" s="5" t="inlineStr">
        <is>
          <t>Month 2</t>
        </is>
      </c>
      <c r="E11" s="5" t="inlineStr">
        <is>
          <t>Month 3</t>
        </is>
      </c>
      <c r="F11" s="5" t="inlineStr">
        <is>
          <t>90-day total</t>
        </is>
      </c>
      <c r="G11" s="5" t="inlineStr">
        <is>
          <t>Plain English (what this is for)</t>
        </is>
      </c>
    </row>
    <row r="12">
      <c r="B12" s="6" t="inlineStr">
        <is>
          <t>Resolved M1/M2/M3</t>
        </is>
      </c>
      <c r="C12" s="8">
        <f>IF(Decisions!$D$8="Phased (25/30/40)",C6,IF(Decisions!$D$8="Flat R32k",C7,C8))</f>
        <v/>
      </c>
      <c r="D12" s="8">
        <f>IF(Decisions!$D$8="Phased (25/30/40)",D6,IF(Decisions!$D$8="Flat R32k",D7,D8))</f>
        <v/>
      </c>
      <c r="E12" s="8">
        <f>IF(Decisions!$D$8="Phased (25/30/40)",E6,IF(Decisions!$D$8="Flat R32k",E7,E8))</f>
        <v/>
      </c>
      <c r="F12" s="8">
        <f>SUM(C12:E12)</f>
        <v/>
      </c>
      <c r="G12" s="9" t="inlineStr">
        <is>
          <t>The active monthly ad spend used by the 90-Day Plan and Summary.</t>
        </is>
      </c>
    </row>
  </sheetData>
  <mergeCells count="2">
    <mergeCell ref="B2:G2"/>
    <mergeCell ref="B10:G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2F5597"/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4.6"/>
  <cols>
    <col width="3" customWidth="1" style="21" min="1" max="1"/>
    <col width="34" customWidth="1" style="21" min="2" max="2"/>
    <col width="14" customWidth="1" style="21" min="3" max="5"/>
    <col width="12" customWidth="1" style="21" min="6" max="6"/>
    <col width="16" customWidth="1" style="21" min="7" max="7"/>
    <col width="80" customWidth="1" style="21" min="8" max="8"/>
  </cols>
  <sheetData>
    <row r="2" ht="14.9" customHeight="1" s="21">
      <c r="B2" s="20" t="inlineStr">
        <is>
          <t>Optional Add-Ons (ex VAT)</t>
        </is>
      </c>
    </row>
    <row r="3" ht="12.55" customHeight="1" s="21">
      <c r="B3" s="4" t="inlineStr">
        <is>
          <t>Toggle Include = YES to add the mid value to the Selected Scenario total on Summary. Ranges are indicative.</t>
        </is>
      </c>
    </row>
    <row r="5" ht="16" customHeight="1" s="21">
      <c r="B5" s="5" t="inlineStr">
        <is>
          <t>Add-on</t>
        </is>
      </c>
      <c r="C5" s="5" t="inlineStr">
        <is>
          <t>Low (R)</t>
        </is>
      </c>
      <c r="D5" s="5" t="inlineStr">
        <is>
          <t>High (R)</t>
        </is>
      </c>
      <c r="E5" s="5" t="inlineStr">
        <is>
          <t>Mid (R)</t>
        </is>
      </c>
      <c r="F5" s="5" t="inlineStr">
        <is>
          <t>Include?</t>
        </is>
      </c>
      <c r="G5" s="5" t="inlineStr">
        <is>
          <t>Cost added (R)</t>
        </is>
      </c>
      <c r="H5" s="5" t="inlineStr">
        <is>
          <t>Plain English (what this is for)</t>
        </is>
      </c>
    </row>
    <row r="6">
      <c r="B6" s="6" t="inlineStr">
        <is>
          <t>Additional landing page</t>
        </is>
      </c>
      <c r="C6" s="7" t="n">
        <v>7500</v>
      </c>
      <c r="D6" s="7" t="n">
        <v>15000</v>
      </c>
      <c r="E6" s="18" t="n">
        <v>11250</v>
      </c>
      <c r="F6" s="19" t="inlineStr">
        <is>
          <t>No</t>
        </is>
      </c>
      <c r="G6" s="8">
        <f>IF(F6="Yes",E6,0)</f>
        <v/>
      </c>
      <c r="H6" s="9" t="inlineStr">
        <is>
          <t>One extra landing page for a specific audience or campaign (e.g. estate agents, a promotion).</t>
        </is>
      </c>
    </row>
    <row r="7">
      <c r="B7" s="6" t="inlineStr">
        <is>
          <t>Blog article</t>
        </is>
      </c>
      <c r="C7" s="7" t="n">
        <v>1500</v>
      </c>
      <c r="D7" s="7" t="n">
        <v>3500</v>
      </c>
      <c r="E7" s="18" t="n">
        <v>2500</v>
      </c>
      <c r="F7" s="19" t="inlineStr">
        <is>
          <t>No</t>
        </is>
      </c>
      <c r="G7" s="8">
        <f>IF(F7="Yes",E7,0)</f>
        <v/>
      </c>
      <c r="H7" s="9" t="inlineStr">
        <is>
          <t>One SEO-friendly article that helps PropFlo rank on Google over time. Cost per article.</t>
        </is>
      </c>
    </row>
    <row r="8">
      <c r="B8" s="6" t="inlineStr">
        <is>
          <t>SEO content cluster</t>
        </is>
      </c>
      <c r="C8" s="7" t="n">
        <v>8500</v>
      </c>
      <c r="D8" s="7" t="n">
        <v>18500</v>
      </c>
      <c r="E8" s="18" t="n">
        <v>13500</v>
      </c>
      <c r="F8" s="19" t="inlineStr">
        <is>
          <t>No</t>
        </is>
      </c>
      <c r="G8" s="8">
        <f>IF(F8="Yes",E8,0)</f>
        <v/>
      </c>
      <c r="H8" s="9" t="inlineStr">
        <is>
          <t>A group of related articles built to support each other in Google search results.</t>
        </is>
      </c>
    </row>
    <row r="9">
      <c r="B9" s="6" t="inlineStr">
        <is>
          <t>Extra ad creative set</t>
        </is>
      </c>
      <c r="C9" s="7" t="n">
        <v>3500</v>
      </c>
      <c r="D9" s="7" t="n">
        <v>8500</v>
      </c>
      <c r="E9" s="18" t="n">
        <v>6000</v>
      </c>
      <c r="F9" s="19" t="inlineStr">
        <is>
          <t>No</t>
        </is>
      </c>
      <c r="G9" s="8">
        <f>IF(F9="Yes",E9,0)</f>
        <v/>
      </c>
      <c r="H9" s="9" t="inlineStr">
        <is>
          <t>New images/videos for adverts so they don't "wear out" with the audience. Refreshed regularly.</t>
        </is>
      </c>
    </row>
    <row r="10">
      <c r="B10" s="6" t="inlineStr">
        <is>
          <t>Email nurture sequence</t>
        </is>
      </c>
      <c r="C10" s="7" t="n">
        <v>4500</v>
      </c>
      <c r="D10" s="7" t="n">
        <v>9500</v>
      </c>
      <c r="E10" s="18" t="n">
        <v>7000</v>
      </c>
      <c r="F10" s="19" t="inlineStr">
        <is>
          <t>No</t>
        </is>
      </c>
      <c r="G10" s="8">
        <f>IF(F10="Yes",E10,0)</f>
        <v/>
      </c>
      <c r="H10" s="9" t="inlineStr">
        <is>
          <t>A set of automatic emails sent to enquirers over days/weeks to keep PropFlo top of mind.</t>
        </is>
      </c>
    </row>
    <row r="11">
      <c r="B11" s="6" t="inlineStr">
        <is>
          <t>WhatsApp script pack</t>
        </is>
      </c>
      <c r="C11" s="7" t="n">
        <v>2500</v>
      </c>
      <c r="D11" s="7" t="n">
        <v>6500</v>
      </c>
      <c r="E11" s="18" t="n">
        <v>4500</v>
      </c>
      <c r="F11" s="19" t="inlineStr">
        <is>
          <t>No</t>
        </is>
      </c>
      <c r="G11" s="8">
        <f>IF(F11="Yes",E11,0)</f>
        <v/>
      </c>
      <c r="H11" s="9" t="inlineStr">
        <is>
          <t>Pre-written WhatsApp messages the sales team can send at each stage of the lead process.</t>
        </is>
      </c>
    </row>
    <row r="12">
      <c r="B12" s="6" t="inlineStr">
        <is>
          <t>Partner brochure</t>
        </is>
      </c>
      <c r="C12" s="7" t="n">
        <v>4500</v>
      </c>
      <c r="D12" s="7" t="n">
        <v>9500</v>
      </c>
      <c r="E12" s="18" t="n">
        <v>7000</v>
      </c>
      <c r="F12" s="19" t="inlineStr">
        <is>
          <t>No</t>
        </is>
      </c>
      <c r="G12" s="8">
        <f>IF(F12="Yes",E12,0)</f>
        <v/>
      </c>
      <c r="H12" s="9" t="inlineStr">
        <is>
          <t>A printable/PDF brochure used to introduce PropFlo to estate agents and conveyancers.</t>
        </is>
      </c>
    </row>
    <row r="13">
      <c r="B13" s="6" t="inlineStr">
        <is>
          <t>Monthly SEO content management</t>
        </is>
      </c>
      <c r="C13" s="7" t="n">
        <v>8500</v>
      </c>
      <c r="D13" s="7" t="n">
        <v>18500</v>
      </c>
      <c r="E13" s="18" t="n">
        <v>13500</v>
      </c>
      <c r="F13" s="19" t="inlineStr">
        <is>
          <t>No</t>
        </is>
      </c>
      <c r="G13" s="8">
        <f>IF(F13="Yes",E13,0)</f>
        <v/>
      </c>
      <c r="H13" s="9" t="inlineStr">
        <is>
          <t>Ongoing article writing and SEO work each month. Recurring, not once-off.</t>
        </is>
      </c>
    </row>
    <row r="14">
      <c r="B14" s="6" t="inlineStr">
        <is>
          <t>Advanced reporting dashboard</t>
        </is>
      </c>
      <c r="C14" s="7" t="n">
        <v>8500</v>
      </c>
      <c r="D14" s="7" t="n">
        <v>20000</v>
      </c>
      <c r="E14" s="18" t="n">
        <v>14000</v>
      </c>
      <c r="F14" s="19" t="inlineStr">
        <is>
          <t>No</t>
        </is>
      </c>
      <c r="G14" s="8">
        <f>IF(F14="Yes",E14,0)</f>
        <v/>
      </c>
      <c r="H14" s="9" t="inlineStr">
        <is>
          <t>A visual dashboard (Looker Studio) showing marketing performance in near real-time. Once-off build.</t>
        </is>
      </c>
    </row>
    <row r="15">
      <c r="B15" s="6" t="inlineStr">
        <is>
          <t>CRM workflow setup</t>
        </is>
      </c>
      <c r="C15" s="7" t="n">
        <v>12500</v>
      </c>
      <c r="D15" s="7" t="n">
        <v>35000</v>
      </c>
      <c r="E15" s="18" t="n">
        <v>22500</v>
      </c>
      <c r="F15" s="19" t="inlineStr">
        <is>
          <t>No</t>
        </is>
      </c>
      <c r="G15" s="8">
        <f>IF(F15="Yes",E15,0)</f>
        <v/>
      </c>
      <c r="H15" s="9" t="inlineStr">
        <is>
          <t>Setting up the CRM so enquiries are captured, assigned to a sales person, and followed up automatically.</t>
        </is>
      </c>
    </row>
    <row r="16">
      <c r="B16" s="6" t="inlineStr">
        <is>
          <t>Marketing automation setup</t>
        </is>
      </c>
      <c r="C16" s="7" t="n">
        <v>18500</v>
      </c>
      <c r="D16" s="7" t="n">
        <v>55000</v>
      </c>
      <c r="E16" s="18" t="n">
        <v>35000</v>
      </c>
      <c r="F16" s="19" t="inlineStr">
        <is>
          <t>No</t>
        </is>
      </c>
      <c r="G16" s="8">
        <f>IF(F16="Yes",E16,0)</f>
        <v/>
      </c>
      <c r="H16" s="9" t="inlineStr">
        <is>
          <t>Automated emails, WhatsApps, and status updates triggered by what a lead does or does not do.</t>
        </is>
      </c>
    </row>
    <row r="17">
      <c r="B17" s="10" t="inlineStr">
        <is>
          <t>Add-ons total included</t>
        </is>
      </c>
      <c r="C17" s="6" t="n"/>
      <c r="D17" s="6" t="n"/>
      <c r="E17" s="6" t="n"/>
      <c r="F17" s="6" t="n"/>
      <c r="G17" s="11">
        <f>SUM(G6:G16)</f>
        <v/>
      </c>
      <c r="H17" s="9" t="inlineStr">
        <is>
          <t>Only the add-ons switched to Yes are counted. This total flows to Summary.</t>
        </is>
      </c>
    </row>
  </sheetData>
  <mergeCells count="1">
    <mergeCell ref="B2:H2"/>
  </mergeCells>
  <dataValidations count="1">
    <dataValidation sqref="F6:F16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2026-07-08T14:12:09Z</dcterms:created>
  <dcterms:modified xmlns:dcterms="http://purl.org/dc/terms/" xmlns:xsi="http://www.w3.org/2001/XMLSchema-instance" xsi:type="dcterms:W3CDTF">2026-07-08T14:12:27Z</dcterms:modified>
  <cp:lastModifiedBy>George Whiteside</cp:lastModifiedBy>
</cp:coreProperties>
</file>